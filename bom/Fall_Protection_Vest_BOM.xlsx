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hongtruong2003/Desktop/Inflate Body/"/>
    </mc:Choice>
  </mc:AlternateContent>
  <xr:revisionPtr revIDLastSave="0" documentId="13_ncr:1_{3D6520C9-16C8-6249-AB6E-753F532F7E58}" xr6:coauthVersionLast="47" xr6:coauthVersionMax="47" xr10:uidLastSave="{00000000-0000-0000-0000-000000000000}"/>
  <bookViews>
    <workbookView xWindow="17100" yWindow="680" windowWidth="17100" windowHeight="19860" xr2:uid="{00000000-000D-0000-FFFF-FFFF00000000}"/>
  </bookViews>
  <sheets>
    <sheet name="EE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6" i="1"/>
  <c r="B25" i="1"/>
  <c r="B24" i="1"/>
  <c r="B23" i="1"/>
  <c r="B22" i="1"/>
  <c r="B21" i="1"/>
  <c r="B20" i="1"/>
  <c r="B19" i="1"/>
  <c r="B18" i="1"/>
  <c r="I15" i="1"/>
  <c r="B28" i="1"/>
  <c r="I14" i="1"/>
  <c r="I13" i="1"/>
  <c r="I12" i="1"/>
  <c r="I11" i="1"/>
  <c r="I10" i="1"/>
  <c r="I9" i="1"/>
  <c r="I8" i="1"/>
  <c r="I7" i="1"/>
  <c r="B29" i="1" l="1"/>
  <c r="B26" i="1"/>
  <c r="C4" i="1"/>
  <c r="B27" i="1"/>
  <c r="B31" i="1"/>
</calcChain>
</file>

<file path=xl/sharedStrings.xml><?xml version="1.0" encoding="utf-8"?>
<sst xmlns="http://schemas.openxmlformats.org/spreadsheetml/2006/main" count="149" uniqueCount="99">
  <si>
    <t>Note: Shipping, tax, not included.</t>
  </si>
  <si>
    <t>Buy Now total</t>
  </si>
  <si>
    <t>Category</t>
  </si>
  <si>
    <t>Item Name</t>
  </si>
  <si>
    <t>Part / Model Code</t>
  </si>
  <si>
    <t>Purpose</t>
  </si>
  <si>
    <t>Shop</t>
  </si>
  <si>
    <t>Unit Price</t>
  </si>
  <si>
    <t>Quantity</t>
  </si>
  <si>
    <t>Total</t>
  </si>
  <si>
    <t>Buy Now / Later</t>
  </si>
  <si>
    <t>Team Owner</t>
  </si>
  <si>
    <t>Stock / Choice</t>
  </si>
  <si>
    <t>Notes</t>
  </si>
  <si>
    <t>Price Checked</t>
  </si>
  <si>
    <t>Controller</t>
  </si>
  <si>
    <t>STM32 Cortex-M33 board</t>
  </si>
  <si>
    <t>NUCLEO-C562RE / 497-NUCLEO-C562RE-ND</t>
  </si>
  <si>
    <t>Run the code</t>
  </si>
  <si>
    <t>DigiKey</t>
  </si>
  <si>
    <t>https://www.digikey.com/en/products/detail/stmicroelectronics/NUCLEO-C562RE/29001304</t>
  </si>
  <si>
    <t>Buy Now</t>
  </si>
  <si>
    <t>Firmware / MCU / IMU</t>
  </si>
  <si>
    <t>In stock</t>
  </si>
  <si>
    <t>Selected board.</t>
  </si>
  <si>
    <t>9/3/2026</t>
  </si>
  <si>
    <t>Sensor</t>
  </si>
  <si>
    <t>ICM-20948 IMU breakout</t>
  </si>
  <si>
    <t>4554 / 1528-4554-ND</t>
  </si>
  <si>
    <t>Detect motion</t>
  </si>
  <si>
    <t>https://www.digikey.com/en/products/detail/adafruit-industries-llc/4554/17039173</t>
  </si>
  <si>
    <t>One IMU only; candidate.</t>
  </si>
  <si>
    <t>Cable</t>
  </si>
  <si>
    <t>STEMMA QT header cable</t>
  </si>
  <si>
    <t>4209 / 1528-4209-ND</t>
  </si>
  <si>
    <t>Connect the IMU</t>
  </si>
  <si>
    <t>https://www.digikey.com/en/products/detail/adafruit-industries-llc/4209/10230003</t>
  </si>
  <si>
    <t>For I2C wiring.</t>
  </si>
  <si>
    <t>Prototyping</t>
  </si>
  <si>
    <t>Testing</t>
  </si>
  <si>
    <t>EE Lead</t>
  </si>
  <si>
    <t>5 V buzzer</t>
  </si>
  <si>
    <t>1536 / 1528-1536-ND</t>
  </si>
  <si>
    <t>Test the alert</t>
  </si>
  <si>
    <t>https://www.digikey.com/en/products/detail/adafruit-industries-llc/1536/26744063</t>
  </si>
  <si>
    <t>Low stock</t>
  </si>
  <si>
    <t>Safe test output.</t>
  </si>
  <si>
    <t>Power</t>
  </si>
  <si>
    <t>3.7 V 500 mAh battery</t>
  </si>
  <si>
    <t>1578 / 1528-1841-ND</t>
  </si>
  <si>
    <t>Power the prototype</t>
  </si>
  <si>
    <t>https://www.digikey.com/en/products/detail/adafruit-industries-llc/1578/5054539</t>
  </si>
  <si>
    <t>Buy Later</t>
  </si>
  <si>
    <t>Power / Circuits</t>
  </si>
  <si>
    <t>Confirm capacity first.</t>
  </si>
  <si>
    <t>3.3 V regulator</t>
  </si>
  <si>
    <t>00526 / 1568-00526-ND</t>
  </si>
  <si>
    <t>Make 3.3 V power</t>
  </si>
  <si>
    <t>https://www.digikey.com/en/products/detail/sparkfun-electronics/00526/17828344</t>
  </si>
  <si>
    <t>Not stocked</t>
  </si>
  <si>
    <t>May not be needed with the board.</t>
  </si>
  <si>
    <t>Output</t>
  </si>
  <si>
    <t>N-channel MOSFET</t>
  </si>
  <si>
    <t>STP55NF06L / 497-6742-5-ND</t>
  </si>
  <si>
    <t>Switch the valve</t>
  </si>
  <si>
    <t>https://www.digikey.com/en/products/detail/stmicroelectronics/STP55NF06L/1039551</t>
  </si>
  <si>
    <t>Confirm valve current first.</t>
  </si>
  <si>
    <t>6 V air valve</t>
  </si>
  <si>
    <t>4663 / 1528-4663-ND</t>
  </si>
  <si>
    <t>Control air flow</t>
  </si>
  <si>
    <t>https://www.digikey.com/en/products/detail/adafruit-industries-llc/4663/13170960</t>
  </si>
  <si>
    <t>Mechanical team must approve.</t>
  </si>
  <si>
    <t>PCB</t>
  </si>
  <si>
    <t>Fall Protection Vest - EE Parts List</t>
  </si>
  <si>
    <t>Product Link</t>
  </si>
  <si>
    <t>Optional / Future Features</t>
  </si>
  <si>
    <t>Arduino UNO R4 WiFi</t>
  </si>
  <si>
    <t>ABX00087 / UNO R4 WiFi</t>
  </si>
  <si>
    <t>Optional controller for communication tests</t>
  </si>
  <si>
    <t>Arduino Store</t>
  </si>
  <si>
    <t>https://store.arduino.cc/products/uno-r4-wifi</t>
  </si>
  <si>
    <t>Optional</t>
  </si>
  <si>
    <t>Prototype alternative only; the main design remains Cortex-M33.</t>
  </si>
  <si>
    <t>9/8/2026</t>
  </si>
  <si>
    <t>SIM800L GSM module</t>
  </si>
  <si>
    <t>Optional cellular communication prototype</t>
  </si>
  <si>
    <t>Common module vendor</t>
  </si>
  <si>
    <t>2G GSM prototype module only. 2G availability varies by region; verify local carrier support before buying.</t>
  </si>
  <si>
    <t>NEO-6M GPS module</t>
  </si>
  <si>
    <t>u-blox NEO-6M / GY-NEO6MV2</t>
  </si>
  <si>
    <t>Optional location tracking prototype</t>
  </si>
  <si>
    <t>GPS prototype module; confirm antenna, voltage, and UART connection before buying.</t>
  </si>
  <si>
    <t>Category subtotal</t>
  </si>
  <si>
    <t>EE material total</t>
  </si>
  <si>
    <t>Testing change</t>
  </si>
  <si>
    <t>Power change</t>
  </si>
  <si>
    <t>https://www.amazon.com/HiLetgo-Smallest-Breakout-Quad-band-3-7-4-2V/dp/B01DLIJM2E/ref=sr_1_1?dib=eyJ2IjoiMSJ9.ABq9RwpR4zEaRP94WYhaZsse_g4wLKG886CfPnOovAL9IGpiJxZt1vDdeBNCKHM7Ox4FdodN3aDBWp92LAojHDmLq2A43oF2IaAbBOXKgH2al5nzrgpl1UIKkn174-Lgwmx9OFjCekA2H7DFQFQpqAJMfifR0TagpXn93sFxzyaNOwUpCdIb_3MHKk9gdFKUetyWoc-WObQnP5-WA4xhWnbeMDDpDrGVpzyGzqH1yxs.n3ItyVcx8VlaJ5Q8SgjHAqBSqVgZd35zt-cdIA4uVrs&amp;dib_tag=se&amp;keywords=sim800l&amp;qid=1788911984&amp;sr=8-1&amp;th=1</t>
  </si>
  <si>
    <t>SIM800L GPRS GSM Breakout Module</t>
  </si>
  <si>
    <t>https://www.amazon.com/YELUFT-GY-NEO6MV2-Control-Support-Raspberry/dp/B0F2DKWJ4J/ref=sr_1_5?crid=116EGIA65O3RM&amp;dib=eyJ2IjoiMSJ9._JPp2AFGHWD_4dT5XNP-SnycfWRcMEOIub2ZYPONWQCLCLeiU7IqwyEKS3O7elcKxsS4py1gFeZ29XIWHm3QTQ3QX_M8mEECUlKve1ZeAJ8Sea1zyersA8alZieFz783-0tomvuy7tnT7_plsjbRSkmZne4iC7YSXRxw8aODNDlKrBKc52KSxYyvh4mKNzSCc9jvfxMSm6pLkugQCZksvUxxBY3AoB3QW4X--jUrNn5T5i-aCIDrq5RVg4QEaVsgrToN-ionJzHsbWyn2QLOyEeYSgOXiigk-v-RNM3CDFg.Pa5G0Wery0aCEinKh-zrDlm7cRXMrO8CM8Sp6U33dIg&amp;dib_tag=se&amp;keywords=neo%2B6m&amp;qid=1788912414&amp;sprefix=%2Caps%2C165&amp;sr=8-5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</si>
</sst>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>
    <font>
      <sz val="11"/>
      <name val="Carlito"/>
    </font>
    <font>
      <b/>
      <sz val="14"/>
      <color rgb="FF000000"/>
      <name val="Calibri"/>
      <family val="2"/>
    </font>
    <font>
      <i/>
      <sz val="11"/>
      <name val="Carlito"/>
    </font>
    <font>
      <b/>
      <sz val="11"/>
      <name val="Carlito"/>
    </font>
    <font>
      <sz val="11"/>
      <color theme="10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4" fillId="0" borderId="0" xfId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dafruit-industries-llc/4663/13170960" TargetMode="External"/><Relationship Id="rId3" Type="http://schemas.openxmlformats.org/officeDocument/2006/relationships/hyperlink" Target="https://www.digikey.com/en/products/detail/adafruit-industries-llc/4209/10230003" TargetMode="External"/><Relationship Id="rId7" Type="http://schemas.openxmlformats.org/officeDocument/2006/relationships/hyperlink" Target="https://www.digikey.com/en/products/detail/stmicroelectronics/STP55NF06L/1039551" TargetMode="External"/><Relationship Id="rId2" Type="http://schemas.openxmlformats.org/officeDocument/2006/relationships/hyperlink" Target="https://www.digikey.com/en/products/detail/adafruit-industries-llc/4554/17039173" TargetMode="External"/><Relationship Id="rId1" Type="http://schemas.openxmlformats.org/officeDocument/2006/relationships/hyperlink" Target="https://www.digikey.com/en/products/detail/stmicroelectronics/NUCLEO-C562RE/29001304" TargetMode="External"/><Relationship Id="rId6" Type="http://schemas.openxmlformats.org/officeDocument/2006/relationships/hyperlink" Target="https://www.digikey.com/en/products/detail/sparkfun-electronics/00526/17828344" TargetMode="External"/><Relationship Id="rId5" Type="http://schemas.openxmlformats.org/officeDocument/2006/relationships/hyperlink" Target="https://www.digikey.com/en/products/detail/adafruit-industries-llc/1578/5054539" TargetMode="External"/><Relationship Id="rId10" Type="http://schemas.openxmlformats.org/officeDocument/2006/relationships/hyperlink" Target="https://www.amazon.com/HiLetgo-Smallest-Breakout-Quad-band-3-7-4-2V/dp/B01DLIJM2E/ref=sr_1_1?dib=eyJ2IjoiMSJ9.ABq9RwpR4zEaRP94WYhaZsse_g4wLKG886CfPnOovAL9IGpiJxZt1vDdeBNCKHM7Ox4FdodN3aDBWp92LAojHDmLq2A43oF2IaAbBOXKgH2al5nzrgpl1UIKkn174-Lgwmx9OFjCekA2H7DFQFQpqAJMfifR0TagpXn93sFxzyaNOwUpCdIb_3MHKk9gdFKUetyWoc-WObQnP5-WA4xhWnbeMDDpDrGVpzyGzqH1yxs.n3ItyVcx8VlaJ5Q8SgjHAqBSqVgZd35zt-cdIA4uVrs&amp;dib_tag=se&amp;keywords=sim800l&amp;qid=1788911984&amp;sr=8-1&amp;th=1" TargetMode="External"/><Relationship Id="rId4" Type="http://schemas.openxmlformats.org/officeDocument/2006/relationships/hyperlink" Target="https://www.digikey.com/en/products/detail/adafruit-industries-llc/1536/26744063" TargetMode="External"/><Relationship Id="rId9" Type="http://schemas.openxmlformats.org/officeDocument/2006/relationships/hyperlink" Target="https://store.arduino.cc/products/uno-r4-wi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C12" zoomScale="132" workbookViewId="0">
      <selection activeCell="F17" sqref="F17"/>
    </sheetView>
  </sheetViews>
  <sheetFormatPr baseColWidth="10" defaultColWidth="8.83203125" defaultRowHeight="14"/>
  <cols>
    <col min="1" max="1" width="20" customWidth="1"/>
    <col min="2" max="2" width="27" customWidth="1"/>
    <col min="3" max="3" width="33" customWidth="1"/>
    <col min="4" max="4" width="22" customWidth="1"/>
    <col min="5" max="5" width="12" customWidth="1"/>
    <col min="6" max="6" width="50" customWidth="1"/>
    <col min="7" max="7" width="11" customWidth="1"/>
    <col min="8" max="8" width="9" customWidth="1"/>
    <col min="9" max="9" width="11" customWidth="1"/>
    <col min="10" max="10" width="15" customWidth="1"/>
    <col min="11" max="11" width="21" customWidth="1"/>
    <col min="12" max="12" width="16" customWidth="1"/>
    <col min="13" max="13" width="30" customWidth="1"/>
    <col min="14" max="14" width="28" customWidth="1"/>
  </cols>
  <sheetData>
    <row r="1" spans="1:14" ht="19">
      <c r="A1" s="15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ht="15">
      <c r="A4" s="17" t="s">
        <v>1</v>
      </c>
      <c r="B4" s="17"/>
      <c r="C4" s="2">
        <f>SUMIF($J$7:$J$17,"Buy Now",$I$7:$I$17)</f>
        <v>43.290000000000006</v>
      </c>
      <c r="D4" s="1"/>
      <c r="E4" s="17"/>
      <c r="F4" s="17"/>
      <c r="G4" s="2"/>
      <c r="H4" s="1"/>
      <c r="I4" s="17"/>
      <c r="J4" s="17"/>
      <c r="K4" s="17"/>
      <c r="L4" s="17"/>
      <c r="M4" s="1"/>
      <c r="N4" s="1"/>
    </row>
    <row r="6" spans="1:14" ht="48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</row>
    <row r="7" spans="1:14" ht="69.25" customHeight="1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7" t="s">
        <v>20</v>
      </c>
      <c r="G7" s="5">
        <v>21.44</v>
      </c>
      <c r="H7" s="6">
        <v>1</v>
      </c>
      <c r="I7" s="5">
        <f t="shared" ref="I7:I14" si="0">G7*H7</f>
        <v>21.44</v>
      </c>
      <c r="J7" s="4" t="s">
        <v>21</v>
      </c>
      <c r="K7" s="4" t="s">
        <v>22</v>
      </c>
      <c r="L7" s="4" t="s">
        <v>23</v>
      </c>
      <c r="M7" s="4" t="s">
        <v>24</v>
      </c>
      <c r="N7" s="4" t="s">
        <v>25</v>
      </c>
    </row>
    <row r="8" spans="1:14" ht="69.25" customHeight="1">
      <c r="A8" s="4" t="s">
        <v>26</v>
      </c>
      <c r="B8" s="4" t="s">
        <v>27</v>
      </c>
      <c r="C8" s="4" t="s">
        <v>28</v>
      </c>
      <c r="D8" s="4" t="s">
        <v>29</v>
      </c>
      <c r="E8" s="4" t="s">
        <v>19</v>
      </c>
      <c r="F8" s="7" t="s">
        <v>30</v>
      </c>
      <c r="G8" s="5">
        <v>19.95</v>
      </c>
      <c r="H8" s="6">
        <v>1</v>
      </c>
      <c r="I8" s="5">
        <f t="shared" si="0"/>
        <v>19.95</v>
      </c>
      <c r="J8" s="4" t="s">
        <v>21</v>
      </c>
      <c r="K8" s="4" t="s">
        <v>22</v>
      </c>
      <c r="L8" s="4" t="s">
        <v>23</v>
      </c>
      <c r="M8" s="4" t="s">
        <v>31</v>
      </c>
      <c r="N8" s="4" t="s">
        <v>25</v>
      </c>
    </row>
    <row r="9" spans="1:14" ht="69.25" customHeight="1">
      <c r="A9" s="4" t="s">
        <v>32</v>
      </c>
      <c r="B9" s="4" t="s">
        <v>33</v>
      </c>
      <c r="C9" s="4" t="s">
        <v>34</v>
      </c>
      <c r="D9" s="4" t="s">
        <v>35</v>
      </c>
      <c r="E9" s="4" t="s">
        <v>19</v>
      </c>
      <c r="F9" s="7" t="s">
        <v>36</v>
      </c>
      <c r="G9" s="5">
        <v>0.95</v>
      </c>
      <c r="H9" s="6">
        <v>1</v>
      </c>
      <c r="I9" s="5">
        <f t="shared" si="0"/>
        <v>0.95</v>
      </c>
      <c r="J9" s="4" t="s">
        <v>21</v>
      </c>
      <c r="K9" s="4" t="s">
        <v>22</v>
      </c>
      <c r="L9" s="4" t="s">
        <v>23</v>
      </c>
      <c r="M9" s="4" t="s">
        <v>37</v>
      </c>
      <c r="N9" s="4" t="s">
        <v>25</v>
      </c>
    </row>
    <row r="10" spans="1:14" ht="69.25" customHeight="1">
      <c r="A10" s="4" t="s">
        <v>94</v>
      </c>
      <c r="B10" s="4" t="s">
        <v>41</v>
      </c>
      <c r="C10" s="4" t="s">
        <v>42</v>
      </c>
      <c r="D10" s="4" t="s">
        <v>43</v>
      </c>
      <c r="E10" s="4" t="s">
        <v>19</v>
      </c>
      <c r="F10" s="7" t="s">
        <v>44</v>
      </c>
      <c r="G10" s="5">
        <v>0.95</v>
      </c>
      <c r="H10" s="6">
        <v>1</v>
      </c>
      <c r="I10" s="5">
        <f t="shared" si="0"/>
        <v>0.95</v>
      </c>
      <c r="J10" s="4" t="s">
        <v>21</v>
      </c>
      <c r="K10" s="4" t="s">
        <v>40</v>
      </c>
      <c r="L10" s="4" t="s">
        <v>45</v>
      </c>
      <c r="M10" s="4" t="s">
        <v>46</v>
      </c>
      <c r="N10" s="4" t="s">
        <v>25</v>
      </c>
    </row>
    <row r="11" spans="1:14" ht="69.25" customHeight="1">
      <c r="A11" s="4" t="s">
        <v>95</v>
      </c>
      <c r="B11" s="4" t="s">
        <v>48</v>
      </c>
      <c r="C11" s="4" t="s">
        <v>49</v>
      </c>
      <c r="D11" s="4" t="s">
        <v>50</v>
      </c>
      <c r="E11" s="4" t="s">
        <v>19</v>
      </c>
      <c r="F11" s="7" t="s">
        <v>51</v>
      </c>
      <c r="G11" s="5">
        <v>7.95</v>
      </c>
      <c r="H11" s="6">
        <v>1</v>
      </c>
      <c r="I11" s="5">
        <f t="shared" si="0"/>
        <v>7.95</v>
      </c>
      <c r="J11" s="4" t="s">
        <v>52</v>
      </c>
      <c r="K11" s="4" t="s">
        <v>53</v>
      </c>
      <c r="L11" s="4" t="s">
        <v>23</v>
      </c>
      <c r="M11" s="4" t="s">
        <v>54</v>
      </c>
      <c r="N11" s="4" t="s">
        <v>25</v>
      </c>
    </row>
    <row r="12" spans="1:14" ht="69.25" customHeight="1">
      <c r="A12" s="4" t="s">
        <v>47</v>
      </c>
      <c r="B12" s="4" t="s">
        <v>55</v>
      </c>
      <c r="C12" s="4" t="s">
        <v>56</v>
      </c>
      <c r="D12" s="4" t="s">
        <v>57</v>
      </c>
      <c r="E12" s="4" t="s">
        <v>19</v>
      </c>
      <c r="F12" s="7" t="s">
        <v>58</v>
      </c>
      <c r="G12" s="5">
        <v>2.25</v>
      </c>
      <c r="H12" s="6">
        <v>1</v>
      </c>
      <c r="I12" s="5">
        <f t="shared" si="0"/>
        <v>2.25</v>
      </c>
      <c r="J12" s="4" t="s">
        <v>52</v>
      </c>
      <c r="K12" s="4" t="s">
        <v>53</v>
      </c>
      <c r="L12" s="4" t="s">
        <v>59</v>
      </c>
      <c r="M12" s="4" t="s">
        <v>60</v>
      </c>
      <c r="N12" s="4" t="s">
        <v>25</v>
      </c>
    </row>
    <row r="13" spans="1:14" ht="69.25" customHeight="1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19</v>
      </c>
      <c r="F13" s="7" t="s">
        <v>65</v>
      </c>
      <c r="G13" s="5">
        <v>2.88</v>
      </c>
      <c r="H13" s="6">
        <v>1</v>
      </c>
      <c r="I13" s="5">
        <f t="shared" si="0"/>
        <v>2.88</v>
      </c>
      <c r="J13" s="4" t="s">
        <v>52</v>
      </c>
      <c r="K13" s="4" t="s">
        <v>53</v>
      </c>
      <c r="L13" s="4" t="s">
        <v>23</v>
      </c>
      <c r="M13" s="4" t="s">
        <v>66</v>
      </c>
      <c r="N13" s="4" t="s">
        <v>25</v>
      </c>
    </row>
    <row r="14" spans="1:14" ht="69.25" customHeight="1">
      <c r="A14" s="4" t="s">
        <v>61</v>
      </c>
      <c r="B14" s="4" t="s">
        <v>67</v>
      </c>
      <c r="C14" s="4" t="s">
        <v>68</v>
      </c>
      <c r="D14" s="4" t="s">
        <v>69</v>
      </c>
      <c r="E14" s="4" t="s">
        <v>19</v>
      </c>
      <c r="F14" s="7" t="s">
        <v>70</v>
      </c>
      <c r="G14" s="5">
        <v>2.95</v>
      </c>
      <c r="H14" s="6">
        <v>1</v>
      </c>
      <c r="I14" s="5">
        <f t="shared" si="0"/>
        <v>2.95</v>
      </c>
      <c r="J14" s="4" t="s">
        <v>52</v>
      </c>
      <c r="K14" s="4" t="s">
        <v>53</v>
      </c>
      <c r="L14" s="4" t="s">
        <v>23</v>
      </c>
      <c r="M14" s="4" t="s">
        <v>71</v>
      </c>
      <c r="N14" s="4" t="s">
        <v>25</v>
      </c>
    </row>
    <row r="15" spans="1:14" ht="69.25" customHeight="1">
      <c r="A15" s="9" t="s">
        <v>75</v>
      </c>
      <c r="B15" s="9" t="s">
        <v>76</v>
      </c>
      <c r="C15" s="9" t="s">
        <v>77</v>
      </c>
      <c r="D15" s="9" t="s">
        <v>78</v>
      </c>
      <c r="E15" s="9" t="s">
        <v>79</v>
      </c>
      <c r="F15" s="7" t="s">
        <v>80</v>
      </c>
      <c r="G15" s="10">
        <v>27.5</v>
      </c>
      <c r="H15" s="11">
        <v>1</v>
      </c>
      <c r="I15" s="10">
        <f>G15*H15</f>
        <v>27.5</v>
      </c>
      <c r="J15" s="9" t="s">
        <v>52</v>
      </c>
      <c r="K15" s="9" t="s">
        <v>22</v>
      </c>
      <c r="L15" s="9" t="s">
        <v>81</v>
      </c>
      <c r="M15" s="9" t="s">
        <v>82</v>
      </c>
      <c r="N15" s="9" t="s">
        <v>83</v>
      </c>
    </row>
    <row r="16" spans="1:14" ht="69.25" customHeight="1">
      <c r="A16" s="9" t="s">
        <v>75</v>
      </c>
      <c r="B16" s="9" t="s">
        <v>84</v>
      </c>
      <c r="C16" s="9" t="s">
        <v>97</v>
      </c>
      <c r="D16" s="9" t="s">
        <v>85</v>
      </c>
      <c r="E16" s="9" t="s">
        <v>86</v>
      </c>
      <c r="F16" s="7" t="s">
        <v>96</v>
      </c>
      <c r="G16" s="10">
        <v>8.99</v>
      </c>
      <c r="H16" s="11">
        <v>1</v>
      </c>
      <c r="I16" s="10">
        <f>8.99</f>
        <v>8.99</v>
      </c>
      <c r="J16" s="9" t="s">
        <v>52</v>
      </c>
      <c r="K16" s="9" t="s">
        <v>22</v>
      </c>
      <c r="L16" s="9" t="s">
        <v>81</v>
      </c>
      <c r="M16" s="9" t="s">
        <v>87</v>
      </c>
      <c r="N16" s="9" t="s">
        <v>83</v>
      </c>
    </row>
    <row r="17" spans="1:14" ht="69.25" customHeight="1">
      <c r="A17" s="9" t="s">
        <v>75</v>
      </c>
      <c r="B17" s="9" t="s">
        <v>88</v>
      </c>
      <c r="C17" s="9" t="s">
        <v>89</v>
      </c>
      <c r="D17" s="9" t="s">
        <v>90</v>
      </c>
      <c r="E17" s="9" t="s">
        <v>86</v>
      </c>
      <c r="F17" s="7" t="s">
        <v>98</v>
      </c>
      <c r="G17" s="10">
        <v>11.99</v>
      </c>
      <c r="H17" s="11">
        <v>2</v>
      </c>
      <c r="I17" s="10">
        <f>11.99</f>
        <v>11.99</v>
      </c>
      <c r="J17" s="9" t="s">
        <v>52</v>
      </c>
      <c r="K17" s="9" t="s">
        <v>22</v>
      </c>
      <c r="L17" s="9" t="s">
        <v>81</v>
      </c>
      <c r="M17" s="9" t="s">
        <v>91</v>
      </c>
      <c r="N17" s="9" t="s">
        <v>83</v>
      </c>
    </row>
    <row r="18" spans="1:14">
      <c r="B18" t="str">
        <f t="shared" ref="B18:B25" si="1">""</f>
        <v/>
      </c>
    </row>
    <row r="19" spans="1:14">
      <c r="B19" t="str">
        <f t="shared" si="1"/>
        <v/>
      </c>
    </row>
    <row r="20" spans="1:14" ht="15">
      <c r="A20" s="13" t="s">
        <v>92</v>
      </c>
      <c r="B20" s="14" t="str">
        <f t="shared" si="1"/>
        <v/>
      </c>
    </row>
    <row r="21" spans="1:14">
      <c r="A21" s="8" t="s">
        <v>15</v>
      </c>
      <c r="B21" s="12" t="str">
        <f t="shared" si="1"/>
        <v/>
      </c>
    </row>
    <row r="22" spans="1:14">
      <c r="A22" s="8" t="s">
        <v>26</v>
      </c>
      <c r="B22" s="12" t="str">
        <f t="shared" si="1"/>
        <v/>
      </c>
    </row>
    <row r="23" spans="1:14">
      <c r="A23" s="8" t="s">
        <v>32</v>
      </c>
      <c r="B23" s="12" t="str">
        <f t="shared" si="1"/>
        <v/>
      </c>
    </row>
    <row r="24" spans="1:14">
      <c r="A24" s="8" t="s">
        <v>38</v>
      </c>
      <c r="B24" s="12" t="str">
        <f t="shared" si="1"/>
        <v/>
      </c>
    </row>
    <row r="25" spans="1:14">
      <c r="A25" s="8" t="s">
        <v>39</v>
      </c>
      <c r="B25" s="12" t="str">
        <f t="shared" si="1"/>
        <v/>
      </c>
    </row>
    <row r="26" spans="1:14">
      <c r="A26" s="8" t="s">
        <v>47</v>
      </c>
      <c r="B26" s="12">
        <f>SUMIF($A$7:$A$17,A26,$I$7:$I$17)</f>
        <v>2.25</v>
      </c>
    </row>
    <row r="27" spans="1:14">
      <c r="A27" s="8" t="s">
        <v>61</v>
      </c>
      <c r="B27" s="12">
        <f>SUMIF($A$7:$A$17,A27,$I$7:$I$17)</f>
        <v>5.83</v>
      </c>
    </row>
    <row r="28" spans="1:14">
      <c r="A28" s="8" t="s">
        <v>72</v>
      </c>
      <c r="B28" s="12">
        <f>SUMIF($A$7:$A$17,A28,$I$7:$I$17)</f>
        <v>0</v>
      </c>
    </row>
    <row r="29" spans="1:14">
      <c r="A29" s="8" t="s">
        <v>75</v>
      </c>
      <c r="B29" s="12">
        <f>SUMIF($A$7:$A$17,A29,$I$7:$I$17)</f>
        <v>48.480000000000004</v>
      </c>
    </row>
    <row r="30" spans="1:14">
      <c r="A30" s="8"/>
      <c r="B30" s="8"/>
    </row>
    <row r="31" spans="1:14" ht="15">
      <c r="A31" s="13" t="s">
        <v>93</v>
      </c>
      <c r="B31" s="14">
        <f>SUM($I$7:$I$17)</f>
        <v>107.80000000000001</v>
      </c>
    </row>
  </sheetData>
  <mergeCells count="6">
    <mergeCell ref="A1:N1"/>
    <mergeCell ref="A2:N2"/>
    <mergeCell ref="A4:B4"/>
    <mergeCell ref="E4:F4"/>
    <mergeCell ref="I4:J4"/>
    <mergeCell ref="K4:L4"/>
  </mergeCells>
  <dataValidations disablePrompts="1" count="2">
    <dataValidation type="list" sqref="J7:J17" xr:uid="{00000000-0002-0000-0000-000000000000}">
      <formula1>"Buy Now,Buy Later"</formula1>
    </dataValidation>
    <dataValidation type="list" sqref="K7:K17" xr:uid="{00000000-0002-0000-0000-000001000000}">
      <formula1>"EE Lead,Firmware / MCU / IMU,Power / Circuits,PCB / Hardware"</formula1>
    </dataValidation>
  </dataValidations>
  <hyperlinks>
    <hyperlink ref="F7" r:id="rId1" xr:uid="{00000000-0004-0000-0000-000000000000}"/>
    <hyperlink ref="F8" r:id="rId2" xr:uid="{00000000-0004-0000-0000-000001000000}"/>
    <hyperlink ref="F9" r:id="rId3" xr:uid="{00000000-0004-0000-0000-000002000000}"/>
    <hyperlink ref="F10" r:id="rId4" xr:uid="{00000000-0004-0000-0000-000008000000}"/>
    <hyperlink ref="F11" r:id="rId5" xr:uid="{00000000-0004-0000-0000-000009000000}"/>
    <hyperlink ref="F12" r:id="rId6" xr:uid="{00000000-0004-0000-0000-00000B000000}"/>
    <hyperlink ref="F13" r:id="rId7" xr:uid="{00000000-0004-0000-0000-00000C000000}"/>
    <hyperlink ref="F14" r:id="rId8" xr:uid="{00000000-0004-0000-0000-00000D000000}"/>
    <hyperlink ref="F15" r:id="rId9" xr:uid="{59F68FD3-216E-984C-8AA4-3C41D0297640}"/>
    <hyperlink ref="F16" r:id="rId10" display="https://www.amazon.com/HiLetgo-Smallest-Breakout-Quad-band-3-7-4-2V/dp/B01DLIJM2E/ref=sr_1_1?dib=eyJ2IjoiMSJ9.ABq9RwpR4zEaRP94WYhaZsse_g4wLKG886CfPnOovAL9IGpiJxZt1vDdeBNCKHM7Ox4FdodN3aDBWp92LAojHDmLq2A43oF2IaAbBOXKgH2al5nzrgpl1UIKkn174-Lgwmx9OFjCekA2H7DFQFQpqAJMfifR0TagpXn93sFxzyaNOwUpCdIb_3MHKk9gdFKUetyWoc-WObQnP5-WA4xhWnbeMDDpDrGVpzyGzqH1yxs.n3ItyVcx8VlaJ5Q8SgjHAqBSqVgZd35zt-cdIA4uVrs&amp;dib_tag=se&amp;keywords=sim800l&amp;qid=1788911984&amp;sr=8-1&amp;th=1" xr:uid="{B421DA45-BF02-2445-AAC6-DB60D510ED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Truong, Duy Phong</cp:lastModifiedBy>
  <dcterms:created xsi:type="dcterms:W3CDTF">2026-09-09T00:14:46Z</dcterms:created>
  <dcterms:modified xsi:type="dcterms:W3CDTF">2026-09-09T00:15:16Z</dcterms:modified>
</cp:coreProperties>
</file>