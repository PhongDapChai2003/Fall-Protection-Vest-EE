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5ba8221b34d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lectrical BOM" sheetId="1" r:id="R4503eafe0a1345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23451F"/>
      <x:name val="Carlito"/>
    </x:font>
    <x:font>
      <x:b/>
      <x:sz val="11"/>
      <x:color rgb="FFFFFFFF"/>
      <x:name val="Carlito"/>
    </x:font>
    <x:font>
      <x:b/>
      <x:sz val="11"/>
      <x:color rgb="FF843C0C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</x:fills>
  <x:borders count="16">
    <x:border/>
    <x:border>
      <x:left style="thin">
        <x:color rgb="FFA9C69E"/>
      </x:left>
      <x:top style="thin">
        <x:color rgb="FFA9C69E"/>
      </x:top>
    </x:border>
    <x:border>
      <x:top style="thin">
        <x:color rgb="FFA9C69E"/>
      </x:top>
    </x:border>
    <x:border>
      <x:right style="thin">
        <x:color rgb="FFA9C69E"/>
      </x:right>
      <x:top style="thin">
        <x:color rgb="FFA9C69E"/>
      </x:top>
    </x:border>
    <x:border>
      <x:left style="thin">
        <x:color rgb="FFA9C69E"/>
      </x:left>
      <x:bottom style="thin">
        <x:color rgb="FFA9C69E"/>
      </x:bottom>
    </x:border>
    <x:border>
      <x:bottom style="thin">
        <x:color rgb="FFA9C69E"/>
      </x:bottom>
    </x:border>
    <x:border>
      <x:right style="thin">
        <x:color rgb="FFA9C69E"/>
      </x:right>
      <x:bottom style="thin">
        <x:color rgb="FFA9C69E"/>
      </x:bottom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6E7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200" fontId="3" fillId="4" borderId="2" xfId="0" applyNumberFormat="1" applyFont="1" applyFill="1" applyBorder="1"/>
    <x:xf numFmtId="200" fontId="3" fillId="4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9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6" borderId="10" xfId="0" applyNumberFormat="1" applyFont="1" applyFill="1" applyBorder="1" applyAlignment="1">
      <x:alignment vertical="top" wrapText="1"/>
    </x:xf>
    <x:xf numFmtId="0" fontId="0" fillId="6" borderId="11" xfId="0" applyNumberFormat="1" applyFont="1" applyFill="1" applyBorder="1" applyAlignment="1">
      <x:alignment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0" fillId="7" borderId="10" xfId="0" applyNumberFormat="1" applyFont="1" applyFill="1" applyBorder="1" applyAlignment="1">
      <x:alignment vertical="top" wrapText="1"/>
    </x:xf>
    <x:xf numFmtId="0" fontId="0" fillId="7" borderId="11" xfId="0" applyNumberFormat="1" applyFont="1" applyFill="1" applyBorder="1" applyAlignment="1">
      <x:alignment vertical="top" wrapText="1"/>
    </x:xf>
    <x:xf numFmtId="0" fontId="0" fillId="7" borderId="12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  <x:xf numFmtId="201" fontId="0" fillId="6" borderId="10" xfId="0" applyNumberFormat="1" applyFont="1" applyFill="1" applyBorder="1" applyAlignment="1">
      <x:alignment vertical="top" wrapText="1"/>
    </x:xf>
    <x:xf numFmtId="201" fontId="0" fillId="6" borderId="11" xfId="0" applyNumberFormat="1" applyFont="1" applyFill="1" applyBorder="1" applyAlignment="1">
      <x:alignment vertical="top" wrapText="1"/>
    </x:xf>
    <x:xf numFmtId="201" fontId="0" fillId="6" borderId="12" xfId="0" applyNumberFormat="1" applyFont="1" applyFill="1" applyBorder="1" applyAlignment="1">
      <x:alignment vertical="top" wrapText="1"/>
    </x:xf>
    <x:xf numFmtId="200" fontId="0" fillId="6" borderId="10" xfId="0" applyNumberFormat="1" applyFont="1" applyFill="1" applyBorder="1" applyAlignment="1">
      <x:alignment vertical="top" wrapText="1"/>
    </x:xf>
    <x:xf numFmtId="200" fontId="0" fillId="4" borderId="10" xfId="0" applyNumberFormat="1" applyFont="1" applyFill="1" applyBorder="1" applyAlignment="1">
      <x:alignment vertical="top" wrapText="1"/>
    </x:xf>
    <x:xf numFmtId="200" fontId="0" fillId="6" borderId="11" xfId="0" applyNumberFormat="1" applyFont="1" applyFill="1" applyBorder="1" applyAlignment="1">
      <x:alignment vertical="top" wrapText="1"/>
    </x:xf>
    <x:xf numFmtId="200" fontId="0" fillId="4" borderId="11" xfId="0" applyNumberFormat="1" applyFont="1" applyFill="1" applyBorder="1" applyAlignment="1">
      <x:alignment vertical="top" wrapText="1"/>
    </x:xf>
    <x:xf numFmtId="200" fontId="0" fillId="6" borderId="12" xfId="0" applyNumberFormat="1" applyFont="1" applyFill="1" applyBorder="1" applyAlignment="1">
      <x:alignment vertical="top" wrapText="1"/>
    </x:xf>
    <x:xf numFmtId="200" fontId="0" fillId="4" borderId="12" xfId="0" applyNumberFormat="1" applyFont="1" applyFill="1" applyBorder="1" applyAlignment="1">
      <x:alignment vertical="top" wrapText="1"/>
    </x:xf>
    <x:xf numFmtId="201" fontId="0" fillId="6" borderId="10" xfId="0" applyNumberFormat="1" applyFont="1" applyFill="1" applyBorder="1" applyAlignment="1">
      <x:alignment horizontal="right" vertical="top" wrapText="1"/>
    </x:xf>
    <x:xf numFmtId="200" fontId="0" fillId="6" borderId="10" xfId="0" applyNumberFormat="1" applyFont="1" applyFill="1" applyBorder="1" applyAlignment="1">
      <x:alignment horizontal="right" vertical="top" wrapText="1"/>
    </x:xf>
    <x:xf numFmtId="200" fontId="0" fillId="4" borderId="10" xfId="0" applyNumberFormat="1" applyFont="1" applyFill="1" applyBorder="1" applyAlignment="1">
      <x:alignment horizontal="right" vertical="top" wrapText="1"/>
    </x:xf>
    <x:xf numFmtId="201" fontId="0" fillId="6" borderId="11" xfId="0" applyNumberFormat="1" applyFont="1" applyFill="1" applyBorder="1" applyAlignment="1">
      <x:alignment horizontal="right" vertical="top" wrapText="1"/>
    </x:xf>
    <x:xf numFmtId="200" fontId="0" fillId="6" borderId="11" xfId="0" applyNumberFormat="1" applyFont="1" applyFill="1" applyBorder="1" applyAlignment="1">
      <x:alignment horizontal="right" vertical="top" wrapText="1"/>
    </x:xf>
    <x:xf numFmtId="200" fontId="0" fillId="4" borderId="11" xfId="0" applyNumberFormat="1" applyFont="1" applyFill="1" applyBorder="1" applyAlignment="1">
      <x:alignment horizontal="right" vertical="top" wrapText="1"/>
    </x:xf>
    <x:xf numFmtId="201" fontId="0" fillId="6" borderId="12" xfId="0" applyNumberFormat="1" applyFont="1" applyFill="1" applyBorder="1" applyAlignment="1">
      <x:alignment horizontal="right" vertical="top" wrapText="1"/>
    </x:xf>
    <x:xf numFmtId="200" fontId="0" fillId="6" borderId="12" xfId="0" applyNumberFormat="1" applyFont="1" applyFill="1" applyBorder="1" applyAlignment="1">
      <x:alignment horizontal="right" vertical="top" wrapText="1"/>
    </x:xf>
    <x:xf numFmtId="200" fontId="0" fillId="4" borderId="12" xfId="0" applyNumberFormat="1" applyFont="1" applyFill="1" applyBorder="1" applyAlignment="1">
      <x:alignment horizontal="right"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3" xfId="0" applyNumberFormat="1" applyFont="1" applyFill="1" applyBorder="1"/>
    <x:xf numFmtId="0" fontId="5" fillId="8" borderId="14" xfId="0" applyNumberFormat="1" applyFont="1" applyFill="1" applyBorder="1"/>
    <x:xf numFmtId="0" fontId="5" fillId="8" borderId="15" xfId="0" applyNumberFormat="1" applyFont="1" applyFill="1" applyBorder="1"/>
    <x:xf numFmtId="0" fontId="5" fillId="8" borderId="13" xfId="0" applyNumberFormat="1" applyFont="1" applyFill="1" applyBorder="1" applyAlignment="1">
      <x:alignment wrapText="1"/>
    </x:xf>
    <x:xf numFmtId="0" fontId="5" fillId="8" borderId="14" xfId="0" applyNumberFormat="1" applyFont="1" applyFill="1" applyBorder="1" applyAlignment="1">
      <x:alignment wrapText="1"/>
    </x:xf>
    <x:xf numFmtId="0" fontId="5" fillId="8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beb65f7d6242a4" /><Relationship Type="http://schemas.openxmlformats.org/officeDocument/2006/relationships/theme" Target="/xl/theme/theme1.xml" Id="Re92a2819eff6488d" /><Relationship Type="http://schemas.openxmlformats.org/officeDocument/2006/relationships/sharedStrings" Target="/xl/sharedStrings.xml" Id="R7bff5a48b0a14b10" /><Relationship Type="http://schemas.openxmlformats.org/officeDocument/2006/relationships/worksheet" Target="/xl/worksheets/sheet1.xml" Id="R4503eafe0a134528" /></Relationships>
</file>

<file path=xl/tables/table1.xml><?xml version="1.0" encoding="utf-8"?>
<x:table xmlns:x="http://schemas.openxmlformats.org/spreadsheetml/2006/main" id="1" name="ElectricalBOMTable" displayName="ElectricalBOMTable" ref="A6:K31" headerRowCount="1" totalsRowCount="0" totalsRowShown="0">
  <x:autoFilter ref="A6:K31"/>
  <x:tableColumns count="11">
    <x:tableColumn id="1" name="Item ID"/>
    <x:tableColumn id="2" name="Category"/>
    <x:tableColumn id="3" name="Part name"/>
    <x:tableColumn id="4" name="Manufacturer part number"/>
    <x:tableColumn id="5" name="Description / key rating"/>
    <x:tableColumn id="6" name="Qty"/>
    <x:tableColumn id="7" name="Unit price"/>
    <x:tableColumn id="8" name="Extended price"/>
    <x:tableColumn id="9" name="Supplier or link"/>
    <x:tableColumn id="10" name="Status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6c0733fe094a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25" hidden="0" customWidth="1"/>
    <x:col min="4" max="4" width="26" hidden="0" customWidth="1"/>
    <x:col min="5" max="5" width="34" hidden="0" customWidth="1"/>
    <x:col min="6" max="6" width="8" hidden="0" customWidth="1"/>
    <x:col min="7" max="7" width="12" hidden="0" customWidth="1"/>
    <x:col min="8" max="8" width="14" hidden="0" customWidth="1"/>
    <x:col min="9" max="9" width="25" hidden="0" customWidth="1"/>
    <x:col min="10" max="10" width="16" hidden="0" customWidth="1"/>
    <x:col min="11" max="11" width="28" hidden="0" customWidth="1"/>
  </x:cols>
  <x:sheetData>
    <x:row r="1" ht="30" customHeight="1">
      <x:c r="A1" s="4" t="str">
        <x:v>Fall Protection Vest - Electrical BOM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7" t="str">
        <x:v>Update the yellow cells. Confirm the exact part and selected option before ordering.</x:v>
      </x:c>
      <x:c r="B2" s="7"/>
      <x:c r="C2" s="7"/>
      <x:c r="D2" s="7"/>
      <x:c r="E2" s="7"/>
      <x:c r="H2" s="10" t="str">
        <x:v>Estimated total</x:v>
      </x:c>
      <x:c r="I2" s="11"/>
      <x:c r="J2" s="16" t="n">
        <x:f>SUM(H7:H31)</x:f>
        <x:v>0</x:v>
      </x:c>
      <x:c r="K2" s="17"/>
    </x:row>
    <x:row r="3">
      <x:c r="H3" s="13" t="str">
        <x:v>Parts with quantity</x:v>
      </x:c>
      <x:c r="I3" s="14"/>
      <x:c r="J3" s="14" t="n">
        <x:f>COUNT(F7:F31)</x:f>
        <x:v>2</x:v>
      </x:c>
      <x:c r="K3" s="15"/>
    </x:row>
    <x:row r="6" ht="32" customHeight="1">
      <x:c r="A6" s="29" t="str">
        <x:v>Item ID</x:v>
      </x:c>
      <x:c r="B6" s="30" t="str">
        <x:v>Category</x:v>
      </x:c>
      <x:c r="C6" s="30" t="str">
        <x:v>Part name</x:v>
      </x:c>
      <x:c r="D6" s="30" t="str">
        <x:v>Manufacturer part number</x:v>
      </x:c>
      <x:c r="E6" s="30" t="str">
        <x:v>Description / key rating</x:v>
      </x:c>
      <x:c r="F6" s="30" t="str">
        <x:v>Qty</x:v>
      </x:c>
      <x:c r="G6" s="30" t="str">
        <x:v>Unit price</x:v>
      </x:c>
      <x:c r="H6" s="30" t="str">
        <x:v>Extended price</x:v>
      </x:c>
      <x:c r="I6" s="30" t="str">
        <x:v>Supplier or link</x:v>
      </x:c>
      <x:c r="J6" s="30" t="str">
        <x:v>Status</x:v>
      </x:c>
      <x:c r="K6" s="31" t="str">
        <x:v>Notes</x:v>
      </x:c>
    </x:row>
    <x:row r="7" ht="34" customHeight="1">
      <x:c r="A7" s="44" t="str">
        <x:v>E-001</x:v>
      </x:c>
      <x:c r="B7" s="41" t="str">
        <x:v>Controller</x:v>
      </x:c>
      <x:c r="C7" s="41" t="str">
        <x:v>ESP32-S3 development board</x:v>
      </x:c>
      <x:c r="D7" s="41" t="str">
        <x:v>Example - replace with exact MPN</x:v>
      </x:c>
      <x:c r="E7" s="41" t="str">
        <x:v>Confirm board model, USB connector, pins, and voltage</x:v>
      </x:c>
      <x:c r="F7" s="59" t="n">
        <x:v>1</x:v>
      </x:c>
      <x:c r="G7" s="60"/>
      <x:c r="H7" s="61" t="str">
        <x:f>IF(OR(F7="",G7=""),"",F7*G7)</x:f>
      </x:c>
      <x:c r="I7" s="41" t="str"/>
      <x:c r="J7" s="41" t="str">
        <x:v>Researching</x:v>
      </x:c>
      <x:c r="K7" s="41" t="str">
        <x:v>Example row - update before ordering</x:v>
      </x:c>
    </x:row>
    <x:row r="8" ht="34" customHeight="1">
      <x:c r="A8" s="45" t="str">
        <x:v>E-002</x:v>
      </x:c>
      <x:c r="B8" s="42" t="str">
        <x:v>Sensor</x:v>
      </x:c>
      <x:c r="C8" s="42" t="str">
        <x:v>BMI270 IMU breakout</x:v>
      </x:c>
      <x:c r="D8" s="42" t="str">
        <x:v>Example - replace with exact MPN</x:v>
      </x:c>
      <x:c r="E8" s="42" t="str">
        <x:v>Confirm breakout voltage, interface, address, and connector</x:v>
      </x:c>
      <x:c r="F8" s="62" t="n">
        <x:v>1</x:v>
      </x:c>
      <x:c r="G8" s="63"/>
      <x:c r="H8" s="64" t="str">
        <x:f>IF(OR(F8="",G8=""),"",F8*G8)</x:f>
      </x:c>
      <x:c r="I8" s="42" t="str"/>
      <x:c r="J8" s="42" t="str">
        <x:v>Researching</x:v>
      </x:c>
      <x:c r="K8" s="42" t="str">
        <x:v>Example row - update before ordering</x:v>
      </x:c>
    </x:row>
    <x:row r="9" ht="34" customHeight="1">
      <x:c r="A9" s="45" t="str">
        <x:v>E-003</x:v>
      </x:c>
      <x:c r="B9" s="42" t="str"/>
      <x:c r="C9" s="42" t="str"/>
      <x:c r="D9" s="42" t="str"/>
      <x:c r="E9" s="42" t="str"/>
      <x:c r="F9" s="62"/>
      <x:c r="G9" s="63"/>
      <x:c r="H9" s="64" t="str">
        <x:f>IF(OR(F9="",G9=""),"",F9*G9)</x:f>
      </x:c>
      <x:c r="I9" s="42" t="str"/>
      <x:c r="J9" s="42" t="str">
        <x:v>Not started</x:v>
      </x:c>
      <x:c r="K9" s="42" t="str"/>
    </x:row>
    <x:row r="10" ht="34" customHeight="1">
      <x:c r="A10" s="45" t="str">
        <x:v>E-004</x:v>
      </x:c>
      <x:c r="B10" s="42" t="str"/>
      <x:c r="C10" s="42" t="str"/>
      <x:c r="D10" s="42" t="str"/>
      <x:c r="E10" s="42" t="str"/>
      <x:c r="F10" s="62"/>
      <x:c r="G10" s="63"/>
      <x:c r="H10" s="64" t="str">
        <x:f>IF(OR(F10="",G10=""),"",F10*G10)</x:f>
      </x:c>
      <x:c r="I10" s="42" t="str"/>
      <x:c r="J10" s="42" t="str">
        <x:v>Not started</x:v>
      </x:c>
      <x:c r="K10" s="42" t="str"/>
    </x:row>
    <x:row r="11" ht="34" customHeight="1">
      <x:c r="A11" s="45" t="str">
        <x:v>E-005</x:v>
      </x:c>
      <x:c r="B11" s="42" t="str"/>
      <x:c r="C11" s="42" t="str"/>
      <x:c r="D11" s="42" t="str"/>
      <x:c r="E11" s="42" t="str"/>
      <x:c r="F11" s="62"/>
      <x:c r="G11" s="63"/>
      <x:c r="H11" s="64" t="str">
        <x:f>IF(OR(F11="",G11=""),"",F11*G11)</x:f>
      </x:c>
      <x:c r="I11" s="42" t="str"/>
      <x:c r="J11" s="42" t="str">
        <x:v>Not started</x:v>
      </x:c>
      <x:c r="K11" s="42" t="str"/>
    </x:row>
    <x:row r="12" ht="34" customHeight="1">
      <x:c r="A12" s="45" t="str">
        <x:v>E-006</x:v>
      </x:c>
      <x:c r="B12" s="42" t="str"/>
      <x:c r="C12" s="42" t="str"/>
      <x:c r="D12" s="42" t="str"/>
      <x:c r="E12" s="42" t="str"/>
      <x:c r="F12" s="62"/>
      <x:c r="G12" s="63"/>
      <x:c r="H12" s="64" t="str">
        <x:f>IF(OR(F12="",G12=""),"",F12*G12)</x:f>
      </x:c>
      <x:c r="I12" s="42" t="str"/>
      <x:c r="J12" s="42" t="str">
        <x:v>Not started</x:v>
      </x:c>
      <x:c r="K12" s="42" t="str"/>
    </x:row>
    <x:row r="13" ht="34" customHeight="1">
      <x:c r="A13" s="45" t="str">
        <x:v>E-007</x:v>
      </x:c>
      <x:c r="B13" s="42" t="str"/>
      <x:c r="C13" s="42" t="str"/>
      <x:c r="D13" s="42" t="str"/>
      <x:c r="E13" s="42" t="str"/>
      <x:c r="F13" s="62"/>
      <x:c r="G13" s="63"/>
      <x:c r="H13" s="64" t="str">
        <x:f>IF(OR(F13="",G13=""),"",F13*G13)</x:f>
      </x:c>
      <x:c r="I13" s="42" t="str"/>
      <x:c r="J13" s="42" t="str">
        <x:v>Not started</x:v>
      </x:c>
      <x:c r="K13" s="42" t="str"/>
    </x:row>
    <x:row r="14" ht="34" customHeight="1">
      <x:c r="A14" s="45" t="str">
        <x:v>E-008</x:v>
      </x:c>
      <x:c r="B14" s="42" t="str"/>
      <x:c r="C14" s="42" t="str"/>
      <x:c r="D14" s="42" t="str"/>
      <x:c r="E14" s="42" t="str"/>
      <x:c r="F14" s="62"/>
      <x:c r="G14" s="63"/>
      <x:c r="H14" s="64" t="str">
        <x:f>IF(OR(F14="",G14=""),"",F14*G14)</x:f>
      </x:c>
      <x:c r="I14" s="42" t="str"/>
      <x:c r="J14" s="42" t="str">
        <x:v>Not started</x:v>
      </x:c>
      <x:c r="K14" s="42" t="str"/>
    </x:row>
    <x:row r="15" ht="34" customHeight="1">
      <x:c r="A15" s="45" t="str">
        <x:v>E-009</x:v>
      </x:c>
      <x:c r="B15" s="42" t="str"/>
      <x:c r="C15" s="42" t="str"/>
      <x:c r="D15" s="42" t="str"/>
      <x:c r="E15" s="42" t="str"/>
      <x:c r="F15" s="62"/>
      <x:c r="G15" s="63"/>
      <x:c r="H15" s="64" t="str">
        <x:f>IF(OR(F15="",G15=""),"",F15*G15)</x:f>
      </x:c>
      <x:c r="I15" s="42" t="str"/>
      <x:c r="J15" s="42" t="str">
        <x:v>Not started</x:v>
      </x:c>
      <x:c r="K15" s="42" t="str"/>
    </x:row>
    <x:row r="16" ht="34" customHeight="1">
      <x:c r="A16" s="45" t="str">
        <x:v>E-010</x:v>
      </x:c>
      <x:c r="B16" s="42" t="str"/>
      <x:c r="C16" s="42" t="str"/>
      <x:c r="D16" s="42" t="str"/>
      <x:c r="E16" s="42" t="str"/>
      <x:c r="F16" s="62"/>
      <x:c r="G16" s="63"/>
      <x:c r="H16" s="64" t="str">
        <x:f>IF(OR(F16="",G16=""),"",F16*G16)</x:f>
      </x:c>
      <x:c r="I16" s="42" t="str"/>
      <x:c r="J16" s="42" t="str">
        <x:v>Not started</x:v>
      </x:c>
      <x:c r="K16" s="42" t="str"/>
    </x:row>
    <x:row r="17" ht="34" customHeight="1">
      <x:c r="A17" s="45" t="str">
        <x:v>E-011</x:v>
      </x:c>
      <x:c r="B17" s="42" t="str"/>
      <x:c r="C17" s="42" t="str"/>
      <x:c r="D17" s="42" t="str"/>
      <x:c r="E17" s="42" t="str"/>
      <x:c r="F17" s="62"/>
      <x:c r="G17" s="63"/>
      <x:c r="H17" s="64" t="str">
        <x:f>IF(OR(F17="",G17=""),"",F17*G17)</x:f>
      </x:c>
      <x:c r="I17" s="42" t="str"/>
      <x:c r="J17" s="42" t="str">
        <x:v>Not started</x:v>
      </x:c>
      <x:c r="K17" s="42" t="str"/>
    </x:row>
    <x:row r="18" ht="34" customHeight="1">
      <x:c r="A18" s="45" t="str">
        <x:v>E-012</x:v>
      </x:c>
      <x:c r="B18" s="42" t="str"/>
      <x:c r="C18" s="42" t="str"/>
      <x:c r="D18" s="42" t="str"/>
      <x:c r="E18" s="42" t="str"/>
      <x:c r="F18" s="62"/>
      <x:c r="G18" s="63"/>
      <x:c r="H18" s="64" t="str">
        <x:f>IF(OR(F18="",G18=""),"",F18*G18)</x:f>
      </x:c>
      <x:c r="I18" s="42" t="str"/>
      <x:c r="J18" s="42" t="str">
        <x:v>Not started</x:v>
      </x:c>
      <x:c r="K18" s="42" t="str"/>
    </x:row>
    <x:row r="19" ht="34" customHeight="1">
      <x:c r="A19" s="45" t="str">
        <x:v>E-013</x:v>
      </x:c>
      <x:c r="B19" s="42" t="str"/>
      <x:c r="C19" s="42" t="str"/>
      <x:c r="D19" s="42" t="str"/>
      <x:c r="E19" s="42" t="str"/>
      <x:c r="F19" s="62"/>
      <x:c r="G19" s="63"/>
      <x:c r="H19" s="64" t="str">
        <x:f>IF(OR(F19="",G19=""),"",F19*G19)</x:f>
      </x:c>
      <x:c r="I19" s="42" t="str"/>
      <x:c r="J19" s="42" t="str">
        <x:v>Not started</x:v>
      </x:c>
      <x:c r="K19" s="42" t="str"/>
    </x:row>
    <x:row r="20" ht="34" customHeight="1">
      <x:c r="A20" s="45" t="str">
        <x:v>E-014</x:v>
      </x:c>
      <x:c r="B20" s="42" t="str"/>
      <x:c r="C20" s="42" t="str"/>
      <x:c r="D20" s="42" t="str"/>
      <x:c r="E20" s="42" t="str"/>
      <x:c r="F20" s="62"/>
      <x:c r="G20" s="63"/>
      <x:c r="H20" s="64" t="str">
        <x:f>IF(OR(F20="",G20=""),"",F20*G20)</x:f>
      </x:c>
      <x:c r="I20" s="42" t="str"/>
      <x:c r="J20" s="42" t="str">
        <x:v>Not started</x:v>
      </x:c>
      <x:c r="K20" s="42" t="str"/>
    </x:row>
    <x:row r="21" ht="34" customHeight="1">
      <x:c r="A21" s="45" t="str">
        <x:v>E-015</x:v>
      </x:c>
      <x:c r="B21" s="42" t="str"/>
      <x:c r="C21" s="42" t="str"/>
      <x:c r="D21" s="42" t="str"/>
      <x:c r="E21" s="42" t="str"/>
      <x:c r="F21" s="62"/>
      <x:c r="G21" s="63"/>
      <x:c r="H21" s="64" t="str">
        <x:f>IF(OR(F21="",G21=""),"",F21*G21)</x:f>
      </x:c>
      <x:c r="I21" s="42" t="str"/>
      <x:c r="J21" s="42" t="str">
        <x:v>Not started</x:v>
      </x:c>
      <x:c r="K21" s="42" t="str"/>
    </x:row>
    <x:row r="22" ht="34" customHeight="1">
      <x:c r="A22" s="45" t="str">
        <x:v>E-016</x:v>
      </x:c>
      <x:c r="B22" s="42" t="str"/>
      <x:c r="C22" s="42" t="str"/>
      <x:c r="D22" s="42" t="str"/>
      <x:c r="E22" s="42" t="str"/>
      <x:c r="F22" s="62"/>
      <x:c r="G22" s="63"/>
      <x:c r="H22" s="64" t="str">
        <x:f>IF(OR(F22="",G22=""),"",F22*G22)</x:f>
      </x:c>
      <x:c r="I22" s="42" t="str"/>
      <x:c r="J22" s="42" t="str">
        <x:v>Not started</x:v>
      </x:c>
      <x:c r="K22" s="42" t="str"/>
    </x:row>
    <x:row r="23" ht="34" customHeight="1">
      <x:c r="A23" s="45" t="str">
        <x:v>E-017</x:v>
      </x:c>
      <x:c r="B23" s="42" t="str"/>
      <x:c r="C23" s="42" t="str"/>
      <x:c r="D23" s="42" t="str"/>
      <x:c r="E23" s="42" t="str"/>
      <x:c r="F23" s="62"/>
      <x:c r="G23" s="63"/>
      <x:c r="H23" s="64" t="str">
        <x:f>IF(OR(F23="",G23=""),"",F23*G23)</x:f>
      </x:c>
      <x:c r="I23" s="42" t="str"/>
      <x:c r="J23" s="42" t="str">
        <x:v>Not started</x:v>
      </x:c>
      <x:c r="K23" s="42" t="str"/>
    </x:row>
    <x:row r="24" ht="34" customHeight="1">
      <x:c r="A24" s="45" t="str">
        <x:v>E-018</x:v>
      </x:c>
      <x:c r="B24" s="42" t="str"/>
      <x:c r="C24" s="42" t="str"/>
      <x:c r="D24" s="42" t="str"/>
      <x:c r="E24" s="42" t="str"/>
      <x:c r="F24" s="62"/>
      <x:c r="G24" s="63"/>
      <x:c r="H24" s="64" t="str">
        <x:f>IF(OR(F24="",G24=""),"",F24*G24)</x:f>
      </x:c>
      <x:c r="I24" s="42" t="str"/>
      <x:c r="J24" s="42" t="str">
        <x:v>Not started</x:v>
      </x:c>
      <x:c r="K24" s="42" t="str"/>
    </x:row>
    <x:row r="25" ht="34" customHeight="1">
      <x:c r="A25" s="45" t="str">
        <x:v>E-019</x:v>
      </x:c>
      <x:c r="B25" s="42" t="str"/>
      <x:c r="C25" s="42" t="str"/>
      <x:c r="D25" s="42" t="str"/>
      <x:c r="E25" s="42" t="str"/>
      <x:c r="F25" s="62"/>
      <x:c r="G25" s="63"/>
      <x:c r="H25" s="64" t="str">
        <x:f>IF(OR(F25="",G25=""),"",F25*G25)</x:f>
      </x:c>
      <x:c r="I25" s="42" t="str"/>
      <x:c r="J25" s="42" t="str">
        <x:v>Not started</x:v>
      </x:c>
      <x:c r="K25" s="42" t="str"/>
    </x:row>
    <x:row r="26" ht="34" customHeight="1">
      <x:c r="A26" s="45" t="str">
        <x:v>E-020</x:v>
      </x:c>
      <x:c r="B26" s="42" t="str"/>
      <x:c r="C26" s="42" t="str"/>
      <x:c r="D26" s="42" t="str"/>
      <x:c r="E26" s="42" t="str"/>
      <x:c r="F26" s="62"/>
      <x:c r="G26" s="63"/>
      <x:c r="H26" s="64" t="str">
        <x:f>IF(OR(F26="",G26=""),"",F26*G26)</x:f>
      </x:c>
      <x:c r="I26" s="42" t="str"/>
      <x:c r="J26" s="42" t="str">
        <x:v>Not started</x:v>
      </x:c>
      <x:c r="K26" s="42" t="str"/>
    </x:row>
    <x:row r="27" ht="34" customHeight="1">
      <x:c r="A27" s="45" t="str">
        <x:v>E-021</x:v>
      </x:c>
      <x:c r="B27" s="42" t="str"/>
      <x:c r="C27" s="42" t="str"/>
      <x:c r="D27" s="42" t="str"/>
      <x:c r="E27" s="42" t="str"/>
      <x:c r="F27" s="62"/>
      <x:c r="G27" s="63"/>
      <x:c r="H27" s="64" t="str">
        <x:f>IF(OR(F27="",G27=""),"",F27*G27)</x:f>
      </x:c>
      <x:c r="I27" s="42" t="str"/>
      <x:c r="J27" s="42" t="str">
        <x:v>Not started</x:v>
      </x:c>
      <x:c r="K27" s="42" t="str"/>
    </x:row>
    <x:row r="28" ht="34" customHeight="1">
      <x:c r="A28" s="45" t="str">
        <x:v>E-022</x:v>
      </x:c>
      <x:c r="B28" s="42" t="str"/>
      <x:c r="C28" s="42" t="str"/>
      <x:c r="D28" s="42" t="str"/>
      <x:c r="E28" s="42" t="str"/>
      <x:c r="F28" s="62"/>
      <x:c r="G28" s="63"/>
      <x:c r="H28" s="64" t="str">
        <x:f>IF(OR(F28="",G28=""),"",F28*G28)</x:f>
      </x:c>
      <x:c r="I28" s="42" t="str"/>
      <x:c r="J28" s="42" t="str">
        <x:v>Not started</x:v>
      </x:c>
      <x:c r="K28" s="42" t="str"/>
    </x:row>
    <x:row r="29" ht="34" customHeight="1">
      <x:c r="A29" s="45" t="str">
        <x:v>E-023</x:v>
      </x:c>
      <x:c r="B29" s="42" t="str"/>
      <x:c r="C29" s="42" t="str"/>
      <x:c r="D29" s="42" t="str"/>
      <x:c r="E29" s="42" t="str"/>
      <x:c r="F29" s="62"/>
      <x:c r="G29" s="63"/>
      <x:c r="H29" s="64" t="str">
        <x:f>IF(OR(F29="",G29=""),"",F29*G29)</x:f>
      </x:c>
      <x:c r="I29" s="42" t="str"/>
      <x:c r="J29" s="42" t="str">
        <x:v>Not started</x:v>
      </x:c>
      <x:c r="K29" s="42" t="str"/>
    </x:row>
    <x:row r="30" ht="34" customHeight="1">
      <x:c r="A30" s="45" t="str">
        <x:v>E-024</x:v>
      </x:c>
      <x:c r="B30" s="42" t="str"/>
      <x:c r="C30" s="42" t="str"/>
      <x:c r="D30" s="42" t="str"/>
      <x:c r="E30" s="42" t="str"/>
      <x:c r="F30" s="62"/>
      <x:c r="G30" s="63"/>
      <x:c r="H30" s="64" t="str">
        <x:f>IF(OR(F30="",G30=""),"",F30*G30)</x:f>
      </x:c>
      <x:c r="I30" s="42" t="str"/>
      <x:c r="J30" s="42" t="str">
        <x:v>Not started</x:v>
      </x:c>
      <x:c r="K30" s="42" t="str"/>
    </x:row>
    <x:row r="31" ht="34" customHeight="1">
      <x:c r="A31" s="46" t="str">
        <x:v>E-025</x:v>
      </x:c>
      <x:c r="B31" s="43" t="str"/>
      <x:c r="C31" s="43" t="str"/>
      <x:c r="D31" s="43" t="str"/>
      <x:c r="E31" s="43" t="str"/>
      <x:c r="F31" s="65"/>
      <x:c r="G31" s="66"/>
      <x:c r="H31" s="67" t="str">
        <x:f>IF(OR(F31="",G31=""),"",F31*G31)</x:f>
      </x:c>
      <x:c r="I31" s="43" t="str"/>
      <x:c r="J31" s="43" t="str">
        <x:v>Not started</x:v>
      </x:c>
      <x:c r="K31" s="43" t="str"/>
    </x:row>
    <x:row r="33" ht="30" customHeight="1">
      <x:c r="A33" s="73" t="str">
        <x:v>Buying check: exact part number | voltage and current rating | package or connector | quantity | selected listing option | shipping | team approval</x:v>
      </x:c>
      <x:c r="B33" s="74"/>
      <x:c r="C33" s="74"/>
      <x:c r="D33" s="74"/>
      <x:c r="E33" s="74"/>
      <x:c r="F33" s="74"/>
      <x:c r="G33" s="74"/>
      <x:c r="H33" s="74"/>
      <x:c r="I33" s="74"/>
      <x:c r="J33" s="74"/>
      <x:c r="K33" s="75"/>
    </x:row>
  </x:sheetData>
  <x:mergeCells>
    <x:mergeCell ref="A1:K1"/>
    <x:mergeCell ref="A2:E2"/>
    <x:mergeCell ref="H2:I2"/>
    <x:mergeCell ref="J2:K2"/>
    <x:mergeCell ref="H3:I3"/>
    <x:mergeCell ref="J3:K3"/>
    <x:mergeCell ref="A33:K33"/>
  </x:mergeCells>
  <x:dataValidations count="2">
    <x:dataValidation type="list" sqref="B7:B31">
      <x:formula1>"Controller,Sensor,Power,Protection,Connector,PCB,Wiring,Test equipment,Other"</x:formula1>
    </x:dataValidation>
    <x:dataValidation type="list" sqref="J7:J31">
      <x:formula1>"Not started,Researching,Selected,Ordered,Received,Tested,Do not use"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6c0733fe094a12"/>
  </x:tableParts>
</x:worksheet>
</file>